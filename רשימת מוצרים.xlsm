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45" windowWidth="11475" windowHeight="6975" tabRatio="513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H5" i="1"/>
  <c r="H6" i="1"/>
  <c r="H7" i="1"/>
  <c r="H8" i="1"/>
  <c r="H9" i="1"/>
  <c r="H10" i="1"/>
  <c r="H11" i="1"/>
  <c r="H12" i="1"/>
  <c r="H13" i="1"/>
  <c r="J5" i="1"/>
  <c r="J6" i="1"/>
  <c r="J7" i="1"/>
  <c r="J8" i="1"/>
  <c r="J9" i="1"/>
  <c r="J10" i="1"/>
  <c r="J11" i="1"/>
  <c r="J12" i="1"/>
  <c r="J13" i="1"/>
  <c r="J14" i="1"/>
  <c r="J15" i="1"/>
  <c r="J16" i="1"/>
  <c r="B4" i="1"/>
  <c r="D4" i="1"/>
  <c r="F4" i="1"/>
  <c r="H4" i="1"/>
  <c r="J4" i="1"/>
  <c r="L5" i="1"/>
  <c r="L6" i="1"/>
  <c r="L7" i="1"/>
  <c r="L8" i="1"/>
  <c r="L9" i="1"/>
  <c r="L10" i="1"/>
  <c r="L11" i="1"/>
  <c r="L12" i="1"/>
  <c r="L4" i="1"/>
  <c r="N5" i="1"/>
  <c r="N6" i="1"/>
  <c r="N7" i="1"/>
  <c r="N8" i="1"/>
  <c r="N9" i="1"/>
  <c r="N10" i="1"/>
  <c r="N11" i="1"/>
  <c r="N12" i="1"/>
  <c r="N13" i="1"/>
  <c r="N14" i="1"/>
  <c r="N15" i="1"/>
  <c r="N16" i="1"/>
  <c r="N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4" i="1"/>
</calcChain>
</file>

<file path=xl/sharedStrings.xml><?xml version="1.0" encoding="utf-8"?>
<sst xmlns="http://schemas.openxmlformats.org/spreadsheetml/2006/main" count="151" uniqueCount="147">
  <si>
    <t>רשימת קניות לסופר</t>
  </si>
  <si>
    <t>פירות</t>
  </si>
  <si>
    <t>ירקות</t>
  </si>
  <si>
    <t>קונסרבים</t>
  </si>
  <si>
    <t>מוצרי חלב</t>
  </si>
  <si>
    <t>מוצרי בשר</t>
  </si>
  <si>
    <t>מוצרי ניקיון</t>
  </si>
  <si>
    <t>מוצרי היגיינה </t>
  </si>
  <si>
    <t>מכולת</t>
  </si>
  <si>
    <t>מזון</t>
  </si>
  <si>
    <t>אגסים</t>
  </si>
  <si>
    <t>בצל ירוק</t>
  </si>
  <si>
    <t>אספרגוס</t>
  </si>
  <si>
    <t>אקטימל</t>
  </si>
  <si>
    <t>גרונות</t>
  </si>
  <si>
    <t>אקונומיקה</t>
  </si>
  <si>
    <t>בושם</t>
  </si>
  <si>
    <t>אטבים</t>
  </si>
  <si>
    <t>איטריות</t>
  </si>
  <si>
    <t>אפרסקים</t>
  </si>
  <si>
    <t>בצל אדום</t>
  </si>
  <si>
    <t>זיתים</t>
  </si>
  <si>
    <t>גבינה צהובה</t>
  </si>
  <si>
    <t>חזה עוף</t>
  </si>
  <si>
    <t>מבריק למדיח</t>
  </si>
  <si>
    <t>גומי לרצפה</t>
  </si>
  <si>
    <t>ביצים</t>
  </si>
  <si>
    <t>אשכוליות</t>
  </si>
  <si>
    <t>בזיליקום</t>
  </si>
  <si>
    <t>זיתים בלי חרצן</t>
  </si>
  <si>
    <t>חלב 1%</t>
  </si>
  <si>
    <t>חלקי עוף</t>
  </si>
  <si>
    <t>מוצרי גיהוץ</t>
  </si>
  <si>
    <t>דיאודורנט</t>
  </si>
  <si>
    <t>יעה</t>
  </si>
  <si>
    <t>בירה</t>
  </si>
  <si>
    <t>בננות</t>
  </si>
  <si>
    <t>ברוקולי</t>
  </si>
  <si>
    <t>חמוצים</t>
  </si>
  <si>
    <t>חלב 3%</t>
  </si>
  <si>
    <t>כבד בקר</t>
  </si>
  <si>
    <t>מלח למדיח</t>
  </si>
  <si>
    <t>מקלונים לאוזניים</t>
  </si>
  <si>
    <t>כלים חד פעמיים</t>
  </si>
  <si>
    <t>גרגירי חומוס</t>
  </si>
  <si>
    <t>דובדובנים</t>
  </si>
  <si>
    <t>סימפוניה 5%</t>
  </si>
  <si>
    <t>כבד עוף</t>
  </si>
  <si>
    <t>סבון למדיח</t>
  </si>
  <si>
    <t>משחת שיניים</t>
  </si>
  <si>
    <t>מברשות</t>
  </si>
  <si>
    <t>דייאט ספרייט</t>
  </si>
  <si>
    <t>לימונים</t>
  </si>
  <si>
    <t>גזר</t>
  </si>
  <si>
    <t>טונה (שמן)</t>
  </si>
  <si>
    <t>פריגורט 0%</t>
  </si>
  <si>
    <t>כנפיים</t>
  </si>
  <si>
    <t>סבון לריצפה</t>
  </si>
  <si>
    <t>סבון רחצה</t>
  </si>
  <si>
    <t>מגבות נייר</t>
  </si>
  <si>
    <t>דייאט קולה</t>
  </si>
  <si>
    <t>מנגו</t>
  </si>
  <si>
    <t>דלעת</t>
  </si>
  <si>
    <t>לבבות דקל</t>
  </si>
  <si>
    <t>צפתית 5%</t>
  </si>
  <si>
    <t>כתף(לחמין)</t>
  </si>
  <si>
    <t>ספריי לשירותים</t>
  </si>
  <si>
    <t>סכיני גילוח</t>
  </si>
  <si>
    <t>מטטה</t>
  </si>
  <si>
    <t>חומוס</t>
  </si>
  <si>
    <t>משמשים</t>
  </si>
  <si>
    <t>חסה</t>
  </si>
  <si>
    <t>מלפפונים חמוצים</t>
  </si>
  <si>
    <t>נקניקיות</t>
  </si>
  <si>
    <t>פנטסטיק</t>
  </si>
  <si>
    <t>צבע שיער</t>
  </si>
  <si>
    <t>מפיות נייר</t>
  </si>
  <si>
    <t>חומץ</t>
  </si>
  <si>
    <t>נקטרינות</t>
  </si>
  <si>
    <t>חצילים</t>
  </si>
  <si>
    <t>עגבניות חתוכות</t>
  </si>
  <si>
    <t>שמנת חמוצה</t>
  </si>
  <si>
    <t>סטייקים</t>
  </si>
  <si>
    <t>רסס וכבס</t>
  </si>
  <si>
    <t>צמר גפן</t>
  </si>
  <si>
    <t>משחת נעליים</t>
  </si>
  <si>
    <t>חלה</t>
  </si>
  <si>
    <t>ענבים</t>
  </si>
  <si>
    <t>מלפפונים</t>
  </si>
  <si>
    <t>עגבניות שלמות</t>
  </si>
  <si>
    <t>שמנת מתוקה</t>
  </si>
  <si>
    <t>עצמות</t>
  </si>
  <si>
    <t>קונדישנר</t>
  </si>
  <si>
    <t>ניילון עטיפה</t>
  </si>
  <si>
    <t>יין</t>
  </si>
  <si>
    <t>קיווי</t>
  </si>
  <si>
    <t>סלק אדום</t>
  </si>
  <si>
    <t>פטריות שלמות</t>
  </si>
  <si>
    <t>בשר בקר</t>
  </si>
  <si>
    <t>קצב גילוח</t>
  </si>
  <si>
    <t>נייר טואלט</t>
  </si>
  <si>
    <t>לחם קל</t>
  </si>
  <si>
    <t>קלמנטינות</t>
  </si>
  <si>
    <t>סלק ירוק</t>
  </si>
  <si>
    <t>פיטריות חתוכות</t>
  </si>
  <si>
    <t>פסטרמה</t>
  </si>
  <si>
    <t>שמפו</t>
  </si>
  <si>
    <t>נרות שבת</t>
  </si>
  <si>
    <t>מלח</t>
  </si>
  <si>
    <t>שזיפים</t>
  </si>
  <si>
    <t>סלרי</t>
  </si>
  <si>
    <t>רסק עגבניות</t>
  </si>
  <si>
    <t>שישליק</t>
  </si>
  <si>
    <t>תחתוניות</t>
  </si>
  <si>
    <t>סחבה</t>
  </si>
  <si>
    <t>סודה</t>
  </si>
  <si>
    <t>תפוזים</t>
  </si>
  <si>
    <t>עגבניות</t>
  </si>
  <si>
    <t>תירס</t>
  </si>
  <si>
    <t>עיתון</t>
  </si>
  <si>
    <t>סוכר</t>
  </si>
  <si>
    <t>תפוחים</t>
  </si>
  <si>
    <t>פטרוזיליה</t>
  </si>
  <si>
    <t>שקיות אשפה</t>
  </si>
  <si>
    <t>עדשים</t>
  </si>
  <si>
    <t>פיטריות</t>
  </si>
  <si>
    <t>שקיות ניילון</t>
  </si>
  <si>
    <t>פסטה</t>
  </si>
  <si>
    <t>פלפלים</t>
  </si>
  <si>
    <t>שקיות קוקיז</t>
  </si>
  <si>
    <t>קורנפלקס</t>
  </si>
  <si>
    <t>קולורורבי</t>
  </si>
  <si>
    <t>שקיות קרח</t>
  </si>
  <si>
    <t>קמח</t>
  </si>
  <si>
    <t>קוסברה</t>
  </si>
  <si>
    <t>ריבות</t>
  </si>
  <si>
    <t>קישואים</t>
  </si>
  <si>
    <t>שמן</t>
  </si>
  <si>
    <t>שום</t>
  </si>
  <si>
    <t>טחינה</t>
  </si>
  <si>
    <t>שומר</t>
  </si>
  <si>
    <t>שעועית ירוקה</t>
  </si>
  <si>
    <t>תפוחי אדמה</t>
  </si>
  <si>
    <t>INSERT INTO Products(Product_desc,Product_category_id) VALUES ('</t>
  </si>
  <si>
    <t>גל שיער</t>
  </si>
  <si>
    <t>קוטג 5%</t>
  </si>
  <si>
    <t>תפוח אדמה אדום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</si>
</sst>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Arial"/>
      <family val="2"/>
      <charset val="177"/>
      <scheme val="minor"/>
    </font>
    <font>
      <sz val="11"/>
      <color rgb="FF9C6500"/>
      <name val="Arial"/>
      <family val="2"/>
      <charset val="177"/>
      <scheme val="minor"/>
    </font>
    <font>
      <b/>
      <sz val="12"/>
      <name val="Arial"/>
      <family val="2"/>
    </font>
    <font>
      <b/>
      <sz val="11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4">
    <xf numFmtId="0" fontId="0" fillId="0" borderId="0" xfId="0"/>
    <xf numFmtId="0" fontId="3" fillId="3" borderId="3" xfId="0" applyFont="1" applyFill="1" applyBorder="1" applyAlignment="1">
      <alignment horizontal="center" vertical="center" readingOrder="2"/>
    </xf>
    <xf numFmtId="0" fontId="3" fillId="3" borderId="3" xfId="0" applyFont="1" applyFill="1" applyBorder="1" applyAlignment="1">
      <alignment horizontal="center" vertical="center" readingOrder="1"/>
    </xf>
    <xf numFmtId="0" fontId="3" fillId="3" borderId="3" xfId="0" applyFont="1" applyFill="1" applyBorder="1" applyAlignment="1">
      <alignment horizontal="center" vertical="center" wrapText="1" readingOrder="2"/>
    </xf>
    <xf numFmtId="0" fontId="5" fillId="3" borderId="3" xfId="0" applyFont="1" applyFill="1" applyBorder="1" applyAlignment="1">
      <alignment horizontal="right" readingOrder="2"/>
    </xf>
    <xf numFmtId="0" fontId="5" fillId="3" borderId="3" xfId="0" applyFont="1" applyFill="1" applyBorder="1" applyAlignment="1">
      <alignment horizontal="right" readingOrder="1"/>
    </xf>
    <xf numFmtId="0" fontId="5" fillId="3" borderId="3" xfId="0" applyFont="1" applyFill="1" applyBorder="1" applyAlignment="1">
      <alignment horizontal="right" vertical="center" wrapText="1" readingOrder="2"/>
    </xf>
    <xf numFmtId="0" fontId="5" fillId="3" borderId="3" xfId="0" applyFont="1" applyFill="1" applyBorder="1" applyAlignment="1">
      <alignment readingOrder="1"/>
    </xf>
    <xf numFmtId="0" fontId="4" fillId="3" borderId="3" xfId="0" applyFont="1" applyFill="1" applyBorder="1" applyAlignment="1">
      <alignment horizontal="right" readingOrder="2"/>
    </xf>
    <xf numFmtId="0" fontId="5" fillId="3" borderId="3" xfId="0" applyFont="1" applyFill="1" applyBorder="1" applyAlignment="1">
      <alignment horizontal="right" vertical="top" readingOrder="2"/>
    </xf>
    <xf numFmtId="0" fontId="1" fillId="2" borderId="0" xfId="1" applyAlignment="1">
      <alignment vertical="center"/>
    </xf>
    <xf numFmtId="0" fontId="2" fillId="3" borderId="1" xfId="0" applyFont="1" applyFill="1" applyBorder="1" applyAlignment="1">
      <alignment horizontal="center" readingOrder="2"/>
    </xf>
    <xf numFmtId="0" fontId="2" fillId="3" borderId="2" xfId="0" applyFont="1" applyFill="1" applyBorder="1" applyAlignment="1">
      <alignment horizontal="center" readingOrder="2"/>
    </xf>
    <xf numFmtId="0" fontId="5" fillId="3" borderId="0" xfId="0" applyFont="1" applyFill="1" applyBorder="1" applyAlignment="1">
      <alignment horizontal="right" readingOrder="1"/>
    </xf>
  </cellXfs>
  <cellStyles count="2">
    <cellStyle name="Normal" xfId="0" builtinId="0"/>
    <cellStyle name="ניטראלי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30"/>
  <sheetViews>
    <sheetView rightToLeft="1" tabSelected="1" topLeftCell="N1" workbookViewId="0">
      <selection activeCell="W7" sqref="W7"/>
    </sheetView>
  </sheetViews>
  <sheetFormatPr defaultRowHeight="14.25" x14ac:dyDescent="0.2"/>
  <cols>
    <col min="11" max="11" width="10.625" bestFit="1" customWidth="1"/>
    <col min="12" max="12" width="12.875" customWidth="1"/>
    <col min="14" max="14" width="17.625" customWidth="1"/>
    <col min="16" max="16" width="12.625" customWidth="1"/>
    <col min="17" max="17" width="9.25" bestFit="1" customWidth="1"/>
    <col min="18" max="20" width="9" hidden="1" customWidth="1"/>
    <col min="21" max="21" width="16" customWidth="1"/>
    <col min="24" max="24" width="66.25" bestFit="1" customWidth="1"/>
  </cols>
  <sheetData>
    <row r="2" spans="1:21" ht="15.75" x14ac:dyDescent="0.25">
      <c r="A2" s="11" t="s">
        <v>0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U2" s="10" t="s">
        <v>143</v>
      </c>
    </row>
    <row r="3" spans="1:21" ht="30" x14ac:dyDescent="0.2">
      <c r="A3" s="1" t="s">
        <v>1</v>
      </c>
      <c r="B3" s="2"/>
      <c r="C3" s="1" t="s">
        <v>2</v>
      </c>
      <c r="D3" s="2"/>
      <c r="E3" s="1" t="s">
        <v>3</v>
      </c>
      <c r="F3" s="2"/>
      <c r="G3" s="1" t="s">
        <v>4</v>
      </c>
      <c r="H3" s="2"/>
      <c r="I3" s="1" t="s">
        <v>5</v>
      </c>
      <c r="J3" s="1"/>
      <c r="K3" s="1" t="s">
        <v>6</v>
      </c>
      <c r="L3" s="1"/>
      <c r="M3" s="3" t="s">
        <v>7</v>
      </c>
      <c r="N3" s="3"/>
      <c r="O3" s="1" t="s">
        <v>8</v>
      </c>
      <c r="P3" s="1"/>
      <c r="Q3" s="1" t="s">
        <v>9</v>
      </c>
      <c r="U3" t="s">
        <v>9</v>
      </c>
    </row>
    <row r="4" spans="1:21" x14ac:dyDescent="0.2">
      <c r="A4" s="4" t="s">
        <v>10</v>
      </c>
      <c r="B4" t="str">
        <f>$U$2&amp;A4&amp;"',9)"</f>
        <v>INSERT INTO Products(Product_desc,Product_category_id) VALUES ('אגסים',9)</v>
      </c>
      <c r="C4" s="6" t="s">
        <v>11</v>
      </c>
      <c r="D4" t="str">
        <f>$U$2&amp;C4&amp;"',8)"</f>
        <v>INSERT INTO Products(Product_desc,Product_category_id) VALUES ('בצל ירוק',8)</v>
      </c>
      <c r="E4" s="4" t="s">
        <v>12</v>
      </c>
      <c r="F4" t="str">
        <f>$U$2&amp;E4&amp;"',7)"</f>
        <v>INSERT INTO Products(Product_desc,Product_category_id) VALUES ('אספרגוס',7)</v>
      </c>
      <c r="G4" s="4" t="s">
        <v>13</v>
      </c>
      <c r="H4" t="str">
        <f>$U$2&amp;G4&amp;"',6)"</f>
        <v>INSERT INTO Products(Product_desc,Product_category_id) VALUES ('אקטימל',6)</v>
      </c>
      <c r="I4" s="4" t="s">
        <v>14</v>
      </c>
      <c r="J4" t="str">
        <f>$U$2&amp;I4&amp;"',5)"</f>
        <v>INSERT INTO Products(Product_desc,Product_category_id) VALUES ('גרונות',5)</v>
      </c>
      <c r="K4" s="4" t="s">
        <v>15</v>
      </c>
      <c r="L4" t="str">
        <f>$U$2&amp;K4&amp;"',4)"</f>
        <v>INSERT INTO Products(Product_desc,Product_category_id) VALUES ('אקונומיקה',4)</v>
      </c>
      <c r="M4" s="4" t="s">
        <v>16</v>
      </c>
      <c r="N4" t="str">
        <f>$U$2&amp;M4&amp;"',3)"</f>
        <v>INSERT INTO Products(Product_desc,Product_category_id) VALUES ('בושם',3)</v>
      </c>
      <c r="O4" s="4" t="s">
        <v>17</v>
      </c>
      <c r="P4" t="str">
        <f>$U$2&amp;O4&amp;"',2)"</f>
        <v>INSERT INTO Products(Product_desc,Product_category_id) VALUES ('אטבים',2)</v>
      </c>
      <c r="Q4" s="4" t="s">
        <v>18</v>
      </c>
      <c r="U4" t="str">
        <f>$U$2&amp;Q4&amp;"',1)"</f>
        <v>INSERT INTO Products(Product_desc,Product_category_id) VALUES ('איטריות',1)</v>
      </c>
    </row>
    <row r="5" spans="1:21" x14ac:dyDescent="0.2">
      <c r="A5" s="4" t="s">
        <v>19</v>
      </c>
      <c r="B5" t="str">
        <f t="shared" ref="B5:B18" si="0">$U$2&amp;A5&amp;"',9)"</f>
        <v>INSERT INTO Products(Product_desc,Product_category_id) VALUES ('אפרסקים',9)</v>
      </c>
      <c r="C5" s="4" t="s">
        <v>20</v>
      </c>
      <c r="D5" t="str">
        <f t="shared" ref="D5:D29" si="1">$U$2&amp;C5&amp;"',8)"</f>
        <v>INSERT INTO Products(Product_desc,Product_category_id) VALUES ('בצל אדום',8)</v>
      </c>
      <c r="E5" s="4" t="s">
        <v>21</v>
      </c>
      <c r="F5" t="str">
        <f t="shared" ref="F5:F17" si="2">$U$2&amp;E5&amp;"',7)"</f>
        <v>INSERT INTO Products(Product_desc,Product_category_id) VALUES ('זיתים',7)</v>
      </c>
      <c r="G5" s="4" t="s">
        <v>22</v>
      </c>
      <c r="H5" t="str">
        <f t="shared" ref="H5:H13" si="3">$U$2&amp;G5&amp;"',6)"</f>
        <v>INSERT INTO Products(Product_desc,Product_category_id) VALUES ('גבינה צהובה',6)</v>
      </c>
      <c r="I5" s="4" t="s">
        <v>23</v>
      </c>
      <c r="J5" t="str">
        <f t="shared" ref="J5:J16" si="4">$U$2&amp;I5&amp;"',5)"</f>
        <v>INSERT INTO Products(Product_desc,Product_category_id) VALUES ('חזה עוף',5)</v>
      </c>
      <c r="K5" s="8" t="s">
        <v>24</v>
      </c>
      <c r="L5" t="str">
        <f t="shared" ref="L5:L12" si="5">$U$2&amp;K5&amp;"',4)"</f>
        <v>INSERT INTO Products(Product_desc,Product_category_id) VALUES ('מבריק למדיח',4)</v>
      </c>
      <c r="M5" s="4" t="s">
        <v>144</v>
      </c>
      <c r="N5" t="str">
        <f t="shared" ref="N5:N16" si="6">$U$2&amp;M5&amp;"',3)"</f>
        <v>INSERT INTO Products(Product_desc,Product_category_id) VALUES ('גל שיער',3)</v>
      </c>
      <c r="O5" s="4" t="s">
        <v>25</v>
      </c>
      <c r="P5" t="str">
        <f t="shared" ref="P5:P21" si="7">$U$2&amp;O5&amp;"',2)"</f>
        <v>INSERT INTO Products(Product_desc,Product_category_id) VALUES ('גומי לרצפה',2)</v>
      </c>
      <c r="Q5" s="4" t="s">
        <v>26</v>
      </c>
      <c r="U5" t="str">
        <f t="shared" ref="U5:U26" si="8">$U$2&amp;Q5&amp;"',1)"</f>
        <v>INSERT INTO Products(Product_desc,Product_category_id) VALUES ('ביצים',1)</v>
      </c>
    </row>
    <row r="6" spans="1:21" x14ac:dyDescent="0.2">
      <c r="A6" s="4" t="s">
        <v>27</v>
      </c>
      <c r="B6" t="str">
        <f t="shared" si="0"/>
        <v>INSERT INTO Products(Product_desc,Product_category_id) VALUES ('אשכוליות',9)</v>
      </c>
      <c r="C6" s="4" t="s">
        <v>28</v>
      </c>
      <c r="D6" t="str">
        <f t="shared" si="1"/>
        <v>INSERT INTO Products(Product_desc,Product_category_id) VALUES ('בזיליקום',8)</v>
      </c>
      <c r="E6" s="4" t="s">
        <v>29</v>
      </c>
      <c r="F6" t="str">
        <f t="shared" si="2"/>
        <v>INSERT INTO Products(Product_desc,Product_category_id) VALUES ('זיתים בלי חרצן',7)</v>
      </c>
      <c r="G6" s="4" t="s">
        <v>30</v>
      </c>
      <c r="H6" t="str">
        <f t="shared" si="3"/>
        <v>INSERT INTO Products(Product_desc,Product_category_id) VALUES ('חלב 1%',6)</v>
      </c>
      <c r="I6" s="4" t="s">
        <v>31</v>
      </c>
      <c r="J6" t="str">
        <f t="shared" si="4"/>
        <v>INSERT INTO Products(Product_desc,Product_category_id) VALUES ('חלקי עוף',5)</v>
      </c>
      <c r="K6" s="4" t="s">
        <v>32</v>
      </c>
      <c r="L6" t="str">
        <f t="shared" si="5"/>
        <v>INSERT INTO Products(Product_desc,Product_category_id) VALUES ('מוצרי גיהוץ',4)</v>
      </c>
      <c r="M6" s="4" t="s">
        <v>33</v>
      </c>
      <c r="N6" t="str">
        <f t="shared" si="6"/>
        <v>INSERT INTO Products(Product_desc,Product_category_id) VALUES ('דיאודורנט',3)</v>
      </c>
      <c r="O6" s="4" t="s">
        <v>34</v>
      </c>
      <c r="P6" t="str">
        <f t="shared" si="7"/>
        <v>INSERT INTO Products(Product_desc,Product_category_id) VALUES ('יעה',2)</v>
      </c>
      <c r="Q6" s="4" t="s">
        <v>35</v>
      </c>
      <c r="U6" t="str">
        <f t="shared" si="8"/>
        <v>INSERT INTO Products(Product_desc,Product_category_id) VALUES ('בירה',1)</v>
      </c>
    </row>
    <row r="7" spans="1:21" x14ac:dyDescent="0.2">
      <c r="A7" s="4" t="s">
        <v>36</v>
      </c>
      <c r="B7" t="str">
        <f t="shared" si="0"/>
        <v>INSERT INTO Products(Product_desc,Product_category_id) VALUES ('בננות',9)</v>
      </c>
      <c r="C7" s="9" t="s">
        <v>37</v>
      </c>
      <c r="D7" t="str">
        <f t="shared" si="1"/>
        <v>INSERT INTO Products(Product_desc,Product_category_id) VALUES ('ברוקולי',8)</v>
      </c>
      <c r="E7" s="4" t="s">
        <v>38</v>
      </c>
      <c r="F7" t="str">
        <f t="shared" si="2"/>
        <v>INSERT INTO Products(Product_desc,Product_category_id) VALUES ('חמוצים',7)</v>
      </c>
      <c r="G7" s="4" t="s">
        <v>39</v>
      </c>
      <c r="H7" t="str">
        <f t="shared" si="3"/>
        <v>INSERT INTO Products(Product_desc,Product_category_id) VALUES ('חלב 3%',6)</v>
      </c>
      <c r="I7" s="4" t="s">
        <v>40</v>
      </c>
      <c r="J7" t="str">
        <f t="shared" si="4"/>
        <v>INSERT INTO Products(Product_desc,Product_category_id) VALUES ('כבד בקר',5)</v>
      </c>
      <c r="K7" s="4" t="s">
        <v>41</v>
      </c>
      <c r="L7" t="str">
        <f t="shared" si="5"/>
        <v>INSERT INTO Products(Product_desc,Product_category_id) VALUES ('מלח למדיח',4)</v>
      </c>
      <c r="M7" s="4" t="s">
        <v>42</v>
      </c>
      <c r="N7" t="str">
        <f t="shared" si="6"/>
        <v>INSERT INTO Products(Product_desc,Product_category_id) VALUES ('מקלונים לאוזניים',3)</v>
      </c>
      <c r="O7" s="4" t="s">
        <v>43</v>
      </c>
      <c r="P7" t="str">
        <f t="shared" si="7"/>
        <v>INSERT INTO Products(Product_desc,Product_category_id) VALUES ('כלים חד פעמיים',2)</v>
      </c>
      <c r="Q7" s="4" t="s">
        <v>44</v>
      </c>
      <c r="U7" t="str">
        <f t="shared" si="8"/>
        <v>INSERT INTO Products(Product_desc,Product_category_id) VALUES ('גרגירי חומוס',1)</v>
      </c>
    </row>
    <row r="8" spans="1:21" x14ac:dyDescent="0.2">
      <c r="A8" s="4" t="s">
        <v>45</v>
      </c>
      <c r="B8" t="str">
        <f t="shared" si="0"/>
        <v>INSERT INTO Products(Product_desc,Product_category_id) VALUES ('דובדובנים',9)</v>
      </c>
      <c r="C8" s="4" t="s">
        <v>37</v>
      </c>
      <c r="D8" t="str">
        <f t="shared" si="1"/>
        <v>INSERT INTO Products(Product_desc,Product_category_id) VALUES ('ברוקולי',8)</v>
      </c>
      <c r="E8" s="4" t="s">
        <v>38</v>
      </c>
      <c r="F8" t="str">
        <f t="shared" si="2"/>
        <v>INSERT INTO Products(Product_desc,Product_category_id) VALUES ('חמוצים',7)</v>
      </c>
      <c r="G8" s="4" t="s">
        <v>46</v>
      </c>
      <c r="H8" t="str">
        <f t="shared" si="3"/>
        <v>INSERT INTO Products(Product_desc,Product_category_id) VALUES ('סימפוניה 5%',6)</v>
      </c>
      <c r="I8" s="4" t="s">
        <v>47</v>
      </c>
      <c r="J8" t="str">
        <f t="shared" si="4"/>
        <v>INSERT INTO Products(Product_desc,Product_category_id) VALUES ('כבד עוף',5)</v>
      </c>
      <c r="K8" s="4" t="s">
        <v>48</v>
      </c>
      <c r="L8" t="str">
        <f t="shared" si="5"/>
        <v>INSERT INTO Products(Product_desc,Product_category_id) VALUES ('סבון למדיח',4)</v>
      </c>
      <c r="M8" s="4" t="s">
        <v>49</v>
      </c>
      <c r="N8" t="str">
        <f t="shared" si="6"/>
        <v>INSERT INTO Products(Product_desc,Product_category_id) VALUES ('משחת שיניים',3)</v>
      </c>
      <c r="O8" s="4" t="s">
        <v>50</v>
      </c>
      <c r="P8" t="str">
        <f t="shared" si="7"/>
        <v>INSERT INTO Products(Product_desc,Product_category_id) VALUES ('מברשות',2)</v>
      </c>
      <c r="Q8" s="4" t="s">
        <v>51</v>
      </c>
      <c r="U8" t="str">
        <f t="shared" si="8"/>
        <v>INSERT INTO Products(Product_desc,Product_category_id) VALUES ('דייאט ספרייט',1)</v>
      </c>
    </row>
    <row r="9" spans="1:21" x14ac:dyDescent="0.2">
      <c r="A9" s="4" t="s">
        <v>52</v>
      </c>
      <c r="B9" t="str">
        <f t="shared" si="0"/>
        <v>INSERT INTO Products(Product_desc,Product_category_id) VALUES ('לימונים',9)</v>
      </c>
      <c r="C9" s="4" t="s">
        <v>53</v>
      </c>
      <c r="D9" t="str">
        <f t="shared" si="1"/>
        <v>INSERT INTO Products(Product_desc,Product_category_id) VALUES ('גזר',8)</v>
      </c>
      <c r="E9" s="4" t="s">
        <v>54</v>
      </c>
      <c r="F9" t="str">
        <f t="shared" si="2"/>
        <v>INSERT INTO Products(Product_desc,Product_category_id) VALUES ('טונה (שמן)',7)</v>
      </c>
      <c r="G9" s="4" t="s">
        <v>55</v>
      </c>
      <c r="H9" t="str">
        <f t="shared" si="3"/>
        <v>INSERT INTO Products(Product_desc,Product_category_id) VALUES ('פריגורט 0%',6)</v>
      </c>
      <c r="I9" s="4" t="s">
        <v>56</v>
      </c>
      <c r="J9" t="str">
        <f t="shared" si="4"/>
        <v>INSERT INTO Products(Product_desc,Product_category_id) VALUES ('כנפיים',5)</v>
      </c>
      <c r="K9" s="4" t="s">
        <v>57</v>
      </c>
      <c r="L9" t="str">
        <f t="shared" si="5"/>
        <v>INSERT INTO Products(Product_desc,Product_category_id) VALUES ('סבון לריצפה',4)</v>
      </c>
      <c r="M9" s="4" t="s">
        <v>58</v>
      </c>
      <c r="N9" t="str">
        <f t="shared" si="6"/>
        <v>INSERT INTO Products(Product_desc,Product_category_id) VALUES ('סבון רחצה',3)</v>
      </c>
      <c r="O9" s="4" t="s">
        <v>59</v>
      </c>
      <c r="P9" t="str">
        <f t="shared" si="7"/>
        <v>INSERT INTO Products(Product_desc,Product_category_id) VALUES ('מגבות נייר',2)</v>
      </c>
      <c r="Q9" s="4" t="s">
        <v>60</v>
      </c>
      <c r="U9" t="str">
        <f t="shared" si="8"/>
        <v>INSERT INTO Products(Product_desc,Product_category_id) VALUES ('דייאט קולה',1)</v>
      </c>
    </row>
    <row r="10" spans="1:21" x14ac:dyDescent="0.2">
      <c r="A10" s="4" t="s">
        <v>61</v>
      </c>
      <c r="B10" t="str">
        <f t="shared" si="0"/>
        <v>INSERT INTO Products(Product_desc,Product_category_id) VALUES ('מנגו',9)</v>
      </c>
      <c r="C10" s="4" t="s">
        <v>62</v>
      </c>
      <c r="D10" t="str">
        <f t="shared" si="1"/>
        <v>INSERT INTO Products(Product_desc,Product_category_id) VALUES ('דלעת',8)</v>
      </c>
      <c r="E10" s="4" t="s">
        <v>63</v>
      </c>
      <c r="F10" t="str">
        <f t="shared" si="2"/>
        <v>INSERT INTO Products(Product_desc,Product_category_id) VALUES ('לבבות דקל',7)</v>
      </c>
      <c r="G10" s="4" t="s">
        <v>64</v>
      </c>
      <c r="H10" t="str">
        <f t="shared" si="3"/>
        <v>INSERT INTO Products(Product_desc,Product_category_id) VALUES ('צפתית 5%',6)</v>
      </c>
      <c r="I10" s="4" t="s">
        <v>65</v>
      </c>
      <c r="J10" t="str">
        <f t="shared" si="4"/>
        <v>INSERT INTO Products(Product_desc,Product_category_id) VALUES ('כתף(לחמין)',5)</v>
      </c>
      <c r="K10" s="4" t="s">
        <v>66</v>
      </c>
      <c r="L10" t="str">
        <f t="shared" si="5"/>
        <v>INSERT INTO Products(Product_desc,Product_category_id) VALUES ('ספריי לשירותים',4)</v>
      </c>
      <c r="M10" s="4" t="s">
        <v>67</v>
      </c>
      <c r="N10" t="str">
        <f t="shared" si="6"/>
        <v>INSERT INTO Products(Product_desc,Product_category_id) VALUES ('סכיני גילוח',3)</v>
      </c>
      <c r="O10" s="4" t="s">
        <v>68</v>
      </c>
      <c r="P10" t="str">
        <f t="shared" si="7"/>
        <v>INSERT INTO Products(Product_desc,Product_category_id) VALUES ('מטטה',2)</v>
      </c>
      <c r="Q10" s="4" t="s">
        <v>69</v>
      </c>
      <c r="U10" t="str">
        <f t="shared" si="8"/>
        <v>INSERT INTO Products(Product_desc,Product_category_id) VALUES ('חומוס',1)</v>
      </c>
    </row>
    <row r="11" spans="1:21" x14ac:dyDescent="0.2">
      <c r="A11" s="4" t="s">
        <v>70</v>
      </c>
      <c r="B11" t="str">
        <f t="shared" si="0"/>
        <v>INSERT INTO Products(Product_desc,Product_category_id) VALUES ('משמשים',9)</v>
      </c>
      <c r="C11" s="4" t="s">
        <v>71</v>
      </c>
      <c r="D11" t="str">
        <f t="shared" si="1"/>
        <v>INSERT INTO Products(Product_desc,Product_category_id) VALUES ('חסה',8)</v>
      </c>
      <c r="E11" s="4" t="s">
        <v>72</v>
      </c>
      <c r="F11" t="str">
        <f t="shared" si="2"/>
        <v>INSERT INTO Products(Product_desc,Product_category_id) VALUES ('מלפפונים חמוצים',7)</v>
      </c>
      <c r="G11" s="4" t="s">
        <v>145</v>
      </c>
      <c r="H11" t="str">
        <f t="shared" si="3"/>
        <v>INSERT INTO Products(Product_desc,Product_category_id) VALUES ('קוטג 5%',6)</v>
      </c>
      <c r="I11" s="4" t="s">
        <v>73</v>
      </c>
      <c r="J11" t="str">
        <f t="shared" si="4"/>
        <v>INSERT INTO Products(Product_desc,Product_category_id) VALUES ('נקניקיות',5)</v>
      </c>
      <c r="K11" s="4" t="s">
        <v>74</v>
      </c>
      <c r="L11" t="str">
        <f t="shared" si="5"/>
        <v>INSERT INTO Products(Product_desc,Product_category_id) VALUES ('פנטסטיק',4)</v>
      </c>
      <c r="M11" s="4" t="s">
        <v>75</v>
      </c>
      <c r="N11" t="str">
        <f t="shared" si="6"/>
        <v>INSERT INTO Products(Product_desc,Product_category_id) VALUES ('צבע שיער',3)</v>
      </c>
      <c r="O11" s="4" t="s">
        <v>76</v>
      </c>
      <c r="P11" t="str">
        <f t="shared" si="7"/>
        <v>INSERT INTO Products(Product_desc,Product_category_id) VALUES ('מפיות נייר',2)</v>
      </c>
      <c r="Q11" s="4" t="s">
        <v>77</v>
      </c>
      <c r="U11" t="str">
        <f t="shared" si="8"/>
        <v>INSERT INTO Products(Product_desc,Product_category_id) VALUES ('חומץ',1)</v>
      </c>
    </row>
    <row r="12" spans="1:21" x14ac:dyDescent="0.2">
      <c r="A12" s="4" t="s">
        <v>78</v>
      </c>
      <c r="B12" t="str">
        <f t="shared" si="0"/>
        <v>INSERT INTO Products(Product_desc,Product_category_id) VALUES ('נקטרינות',9)</v>
      </c>
      <c r="C12" s="4" t="s">
        <v>79</v>
      </c>
      <c r="D12" t="str">
        <f t="shared" si="1"/>
        <v>INSERT INTO Products(Product_desc,Product_category_id) VALUES ('חצילים',8)</v>
      </c>
      <c r="E12" s="4" t="s">
        <v>80</v>
      </c>
      <c r="F12" t="str">
        <f t="shared" si="2"/>
        <v>INSERT INTO Products(Product_desc,Product_category_id) VALUES ('עגבניות חתוכות',7)</v>
      </c>
      <c r="G12" s="4" t="s">
        <v>81</v>
      </c>
      <c r="H12" t="str">
        <f t="shared" si="3"/>
        <v>INSERT INTO Products(Product_desc,Product_category_id) VALUES ('שמנת חמוצה',6)</v>
      </c>
      <c r="I12" s="4" t="s">
        <v>82</v>
      </c>
      <c r="J12" t="str">
        <f t="shared" si="4"/>
        <v>INSERT INTO Products(Product_desc,Product_category_id) VALUES ('סטייקים',5)</v>
      </c>
      <c r="K12" s="4" t="s">
        <v>83</v>
      </c>
      <c r="L12" t="str">
        <f t="shared" si="5"/>
        <v>INSERT INTO Products(Product_desc,Product_category_id) VALUES ('רסס וכבס',4)</v>
      </c>
      <c r="M12" s="4" t="s">
        <v>84</v>
      </c>
      <c r="N12" t="str">
        <f t="shared" si="6"/>
        <v>INSERT INTO Products(Product_desc,Product_category_id) VALUES ('צמר גפן',3)</v>
      </c>
      <c r="O12" s="4" t="s">
        <v>85</v>
      </c>
      <c r="P12" t="str">
        <f t="shared" si="7"/>
        <v>INSERT INTO Products(Product_desc,Product_category_id) VALUES ('משחת נעליים',2)</v>
      </c>
      <c r="Q12" s="4" t="s">
        <v>86</v>
      </c>
      <c r="U12" t="str">
        <f t="shared" si="8"/>
        <v>INSERT INTO Products(Product_desc,Product_category_id) VALUES ('חלה',1)</v>
      </c>
    </row>
    <row r="13" spans="1:21" x14ac:dyDescent="0.2">
      <c r="A13" s="4" t="s">
        <v>87</v>
      </c>
      <c r="B13" t="str">
        <f t="shared" si="0"/>
        <v>INSERT INTO Products(Product_desc,Product_category_id) VALUES ('ענבים',9)</v>
      </c>
      <c r="C13" s="4" t="s">
        <v>88</v>
      </c>
      <c r="D13" t="str">
        <f t="shared" si="1"/>
        <v>INSERT INTO Products(Product_desc,Product_category_id) VALUES ('מלפפונים',8)</v>
      </c>
      <c r="E13" s="4" t="s">
        <v>89</v>
      </c>
      <c r="F13" t="str">
        <f t="shared" si="2"/>
        <v>INSERT INTO Products(Product_desc,Product_category_id) VALUES ('עגבניות שלמות',7)</v>
      </c>
      <c r="G13" s="4" t="s">
        <v>90</v>
      </c>
      <c r="H13" t="str">
        <f t="shared" si="3"/>
        <v>INSERT INTO Products(Product_desc,Product_category_id) VALUES ('שמנת מתוקה',6)</v>
      </c>
      <c r="I13" s="4" t="s">
        <v>91</v>
      </c>
      <c r="J13" t="str">
        <f t="shared" si="4"/>
        <v>INSERT INTO Products(Product_desc,Product_category_id) VALUES ('עצמות',5)</v>
      </c>
      <c r="K13" s="5"/>
      <c r="L13" s="5"/>
      <c r="M13" s="4" t="s">
        <v>92</v>
      </c>
      <c r="N13" t="str">
        <f t="shared" si="6"/>
        <v>INSERT INTO Products(Product_desc,Product_category_id) VALUES ('קונדישנר',3)</v>
      </c>
      <c r="O13" s="4" t="s">
        <v>93</v>
      </c>
      <c r="P13" t="str">
        <f t="shared" si="7"/>
        <v>INSERT INTO Products(Product_desc,Product_category_id) VALUES ('ניילון עטיפה',2)</v>
      </c>
      <c r="Q13" s="4" t="s">
        <v>94</v>
      </c>
      <c r="U13" t="str">
        <f t="shared" si="8"/>
        <v>INSERT INTO Products(Product_desc,Product_category_id) VALUES ('יין',1)</v>
      </c>
    </row>
    <row r="14" spans="1:21" x14ac:dyDescent="0.2">
      <c r="A14" s="4" t="s">
        <v>95</v>
      </c>
      <c r="B14" t="str">
        <f t="shared" si="0"/>
        <v>INSERT INTO Products(Product_desc,Product_category_id) VALUES ('קיווי',9)</v>
      </c>
      <c r="C14" s="4" t="s">
        <v>96</v>
      </c>
      <c r="D14" t="str">
        <f t="shared" si="1"/>
        <v>INSERT INTO Products(Product_desc,Product_category_id) VALUES ('סלק אדום',8)</v>
      </c>
      <c r="E14" s="4" t="s">
        <v>97</v>
      </c>
      <c r="F14" t="str">
        <f t="shared" si="2"/>
        <v>INSERT INTO Products(Product_desc,Product_category_id) VALUES ('פטריות שלמות',7)</v>
      </c>
      <c r="G14" s="5"/>
      <c r="H14" s="5"/>
      <c r="I14" s="4" t="s">
        <v>98</v>
      </c>
      <c r="J14" t="str">
        <f t="shared" si="4"/>
        <v>INSERT INTO Products(Product_desc,Product_category_id) VALUES ('בשר בקר',5)</v>
      </c>
      <c r="K14" s="5"/>
      <c r="L14" s="5"/>
      <c r="M14" s="4" t="s">
        <v>99</v>
      </c>
      <c r="N14" t="str">
        <f t="shared" si="6"/>
        <v>INSERT INTO Products(Product_desc,Product_category_id) VALUES ('קצב גילוח',3)</v>
      </c>
      <c r="O14" s="4" t="s">
        <v>100</v>
      </c>
      <c r="P14" t="str">
        <f t="shared" si="7"/>
        <v>INSERT INTO Products(Product_desc,Product_category_id) VALUES ('נייר טואלט',2)</v>
      </c>
      <c r="Q14" s="4" t="s">
        <v>101</v>
      </c>
      <c r="U14" t="str">
        <f t="shared" si="8"/>
        <v>INSERT INTO Products(Product_desc,Product_category_id) VALUES ('לחם קל',1)</v>
      </c>
    </row>
    <row r="15" spans="1:21" x14ac:dyDescent="0.2">
      <c r="A15" s="4" t="s">
        <v>102</v>
      </c>
      <c r="B15" t="str">
        <f t="shared" si="0"/>
        <v>INSERT INTO Products(Product_desc,Product_category_id) VALUES ('קלמנטינות',9)</v>
      </c>
      <c r="C15" s="4" t="s">
        <v>103</v>
      </c>
      <c r="D15" t="str">
        <f t="shared" si="1"/>
        <v>INSERT INTO Products(Product_desc,Product_category_id) VALUES ('סלק ירוק',8)</v>
      </c>
      <c r="E15" s="4" t="s">
        <v>104</v>
      </c>
      <c r="F15" t="str">
        <f t="shared" si="2"/>
        <v>INSERT INTO Products(Product_desc,Product_category_id) VALUES ('פיטריות חתוכות',7)</v>
      </c>
      <c r="G15" s="5"/>
      <c r="H15" s="5"/>
      <c r="I15" s="4" t="s">
        <v>105</v>
      </c>
      <c r="J15" t="str">
        <f t="shared" si="4"/>
        <v>INSERT INTO Products(Product_desc,Product_category_id) VALUES ('פסטרמה',5)</v>
      </c>
      <c r="K15" s="5"/>
      <c r="L15" s="5"/>
      <c r="M15" s="4" t="s">
        <v>106</v>
      </c>
      <c r="N15" t="str">
        <f t="shared" si="6"/>
        <v>INSERT INTO Products(Product_desc,Product_category_id) VALUES ('שמפו',3)</v>
      </c>
      <c r="O15" s="4" t="s">
        <v>107</v>
      </c>
      <c r="P15" t="str">
        <f t="shared" si="7"/>
        <v>INSERT INTO Products(Product_desc,Product_category_id) VALUES ('נרות שבת',2)</v>
      </c>
      <c r="Q15" s="4" t="s">
        <v>108</v>
      </c>
      <c r="U15" t="str">
        <f t="shared" si="8"/>
        <v>INSERT INTO Products(Product_desc,Product_category_id) VALUES ('מלח',1)</v>
      </c>
    </row>
    <row r="16" spans="1:21" x14ac:dyDescent="0.2">
      <c r="A16" s="4" t="s">
        <v>109</v>
      </c>
      <c r="B16" t="str">
        <f t="shared" si="0"/>
        <v>INSERT INTO Products(Product_desc,Product_category_id) VALUES ('שזיפים',9)</v>
      </c>
      <c r="C16" s="4" t="s">
        <v>110</v>
      </c>
      <c r="D16" t="str">
        <f t="shared" si="1"/>
        <v>INSERT INTO Products(Product_desc,Product_category_id) VALUES ('סלרי',8)</v>
      </c>
      <c r="E16" s="4" t="s">
        <v>111</v>
      </c>
      <c r="F16" t="str">
        <f t="shared" si="2"/>
        <v>INSERT INTO Products(Product_desc,Product_category_id) VALUES ('רסק עגבניות',7)</v>
      </c>
      <c r="G16" s="5"/>
      <c r="H16" s="5"/>
      <c r="I16" s="4" t="s">
        <v>112</v>
      </c>
      <c r="J16" t="str">
        <f t="shared" si="4"/>
        <v>INSERT INTO Products(Product_desc,Product_category_id) VALUES ('שישליק',5)</v>
      </c>
      <c r="K16" s="5"/>
      <c r="L16" s="5"/>
      <c r="M16" s="4" t="s">
        <v>113</v>
      </c>
      <c r="N16" t="str">
        <f t="shared" si="6"/>
        <v>INSERT INTO Products(Product_desc,Product_category_id) VALUES ('תחתוניות',3)</v>
      </c>
      <c r="O16" s="4" t="s">
        <v>114</v>
      </c>
      <c r="P16" t="str">
        <f t="shared" si="7"/>
        <v>INSERT INTO Products(Product_desc,Product_category_id) VALUES ('סחבה',2)</v>
      </c>
      <c r="Q16" s="4" t="s">
        <v>115</v>
      </c>
      <c r="U16" t="str">
        <f t="shared" si="8"/>
        <v>INSERT INTO Products(Product_desc,Product_category_id) VALUES ('סודה',1)</v>
      </c>
    </row>
    <row r="17" spans="1:21" x14ac:dyDescent="0.2">
      <c r="A17" s="4" t="s">
        <v>116</v>
      </c>
      <c r="B17" t="str">
        <f t="shared" si="0"/>
        <v>INSERT INTO Products(Product_desc,Product_category_id) VALUES ('תפוזים',9)</v>
      </c>
      <c r="C17" s="4" t="s">
        <v>117</v>
      </c>
      <c r="D17" t="str">
        <f t="shared" si="1"/>
        <v>INSERT INTO Products(Product_desc,Product_category_id) VALUES ('עגבניות',8)</v>
      </c>
      <c r="E17" s="4" t="s">
        <v>118</v>
      </c>
      <c r="F17" t="str">
        <f t="shared" si="2"/>
        <v>INSERT INTO Products(Product_desc,Product_category_id) VALUES ('תירס',7)</v>
      </c>
      <c r="G17" s="5"/>
      <c r="H17" s="5"/>
      <c r="I17" s="5"/>
      <c r="J17" s="5"/>
      <c r="K17" s="5"/>
      <c r="L17" s="5"/>
      <c r="M17" s="5"/>
      <c r="N17" s="5"/>
      <c r="O17" s="4" t="s">
        <v>119</v>
      </c>
      <c r="P17" t="str">
        <f t="shared" si="7"/>
        <v>INSERT INTO Products(Product_desc,Product_category_id) VALUES ('עיתון',2)</v>
      </c>
      <c r="Q17" s="4" t="s">
        <v>120</v>
      </c>
      <c r="U17" t="str">
        <f t="shared" si="8"/>
        <v>INSERT INTO Products(Product_desc,Product_category_id) VALUES ('סוכר',1)</v>
      </c>
    </row>
    <row r="18" spans="1:21" x14ac:dyDescent="0.2">
      <c r="A18" s="4" t="s">
        <v>121</v>
      </c>
      <c r="B18" t="str">
        <f t="shared" si="0"/>
        <v>INSERT INTO Products(Product_desc,Product_category_id) VALUES ('תפוחים',9)</v>
      </c>
      <c r="C18" s="4" t="s">
        <v>122</v>
      </c>
      <c r="D18" t="str">
        <f t="shared" si="1"/>
        <v>INSERT INTO Products(Product_desc,Product_category_id) VALUES ('פטרוזיליה',8)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4" t="s">
        <v>123</v>
      </c>
      <c r="P18" t="str">
        <f t="shared" si="7"/>
        <v>INSERT INTO Products(Product_desc,Product_category_id) VALUES ('שקיות אשפה',2)</v>
      </c>
      <c r="Q18" s="4" t="s">
        <v>124</v>
      </c>
      <c r="U18" t="str">
        <f t="shared" si="8"/>
        <v>INSERT INTO Products(Product_desc,Product_category_id) VALUES ('עדשים',1)</v>
      </c>
    </row>
    <row r="19" spans="1:21" x14ac:dyDescent="0.2">
      <c r="A19" s="7"/>
      <c r="B19" s="5"/>
      <c r="C19" s="4" t="s">
        <v>125</v>
      </c>
      <c r="D19" t="str">
        <f t="shared" si="1"/>
        <v>INSERT INTO Products(Product_desc,Product_category_id) VALUES ('פיטריות',8)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4" t="s">
        <v>126</v>
      </c>
      <c r="P19" t="str">
        <f t="shared" si="7"/>
        <v>INSERT INTO Products(Product_desc,Product_category_id) VALUES ('שקיות ניילון',2)</v>
      </c>
      <c r="Q19" s="4" t="s">
        <v>127</v>
      </c>
      <c r="U19" t="str">
        <f t="shared" si="8"/>
        <v>INSERT INTO Products(Product_desc,Product_category_id) VALUES ('פסטה',1)</v>
      </c>
    </row>
    <row r="20" spans="1:21" x14ac:dyDescent="0.2">
      <c r="A20" s="5"/>
      <c r="B20" s="5"/>
      <c r="C20" s="9" t="s">
        <v>128</v>
      </c>
      <c r="D20" t="str">
        <f t="shared" si="1"/>
        <v>INSERT INTO Products(Product_desc,Product_category_id) VALUES ('פלפלים',8)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4" t="s">
        <v>129</v>
      </c>
      <c r="P20" t="str">
        <f t="shared" si="7"/>
        <v>INSERT INTO Products(Product_desc,Product_category_id) VALUES ('שקיות קוקיז',2)</v>
      </c>
      <c r="Q20" s="4" t="s">
        <v>130</v>
      </c>
      <c r="U20" t="str">
        <f t="shared" si="8"/>
        <v>INSERT INTO Products(Product_desc,Product_category_id) VALUES ('קורנפלקס',1)</v>
      </c>
    </row>
    <row r="21" spans="1:21" x14ac:dyDescent="0.2">
      <c r="A21" s="5"/>
      <c r="B21" s="5"/>
      <c r="C21" s="4" t="s">
        <v>131</v>
      </c>
      <c r="D21" t="str">
        <f t="shared" si="1"/>
        <v>INSERT INTO Products(Product_desc,Product_category_id) VALUES ('קולורורבי',8)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4" t="s">
        <v>132</v>
      </c>
      <c r="P21" t="str">
        <f t="shared" si="7"/>
        <v>INSERT INTO Products(Product_desc,Product_category_id) VALUES ('שקיות קרח',2)</v>
      </c>
      <c r="Q21" s="4" t="s">
        <v>133</v>
      </c>
      <c r="U21" t="str">
        <f t="shared" si="8"/>
        <v>INSERT INTO Products(Product_desc,Product_category_id) VALUES ('קמח',1)</v>
      </c>
    </row>
    <row r="22" spans="1:21" x14ac:dyDescent="0.2">
      <c r="A22" s="5"/>
      <c r="B22" s="5"/>
      <c r="C22" s="4" t="s">
        <v>134</v>
      </c>
      <c r="D22" t="str">
        <f t="shared" si="1"/>
        <v>INSERT INTO Products(Product_desc,Product_category_id) VALUES ('קוסברה',8)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4" t="s">
        <v>135</v>
      </c>
      <c r="U22" t="str">
        <f t="shared" si="8"/>
        <v>INSERT INTO Products(Product_desc,Product_category_id) VALUES ('ריבות',1)</v>
      </c>
    </row>
    <row r="23" spans="1:21" x14ac:dyDescent="0.2">
      <c r="A23" s="5"/>
      <c r="B23" s="5"/>
      <c r="C23" s="4" t="s">
        <v>136</v>
      </c>
      <c r="D23" t="str">
        <f t="shared" si="1"/>
        <v>INSERT INTO Products(Product_desc,Product_category_id) VALUES ('קישואים',8)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4" t="s">
        <v>137</v>
      </c>
      <c r="U23" t="str">
        <f t="shared" si="8"/>
        <v>INSERT INTO Products(Product_desc,Product_category_id) VALUES ('שמן',1)</v>
      </c>
    </row>
    <row r="24" spans="1:21" x14ac:dyDescent="0.2">
      <c r="A24" s="5"/>
      <c r="B24" s="5"/>
      <c r="C24" s="4" t="s">
        <v>138</v>
      </c>
      <c r="D24" t="str">
        <f t="shared" si="1"/>
        <v>INSERT INTO Products(Product_desc,Product_category_id) VALUES ('שום',8)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4" t="s">
        <v>139</v>
      </c>
      <c r="U24" t="str">
        <f t="shared" si="8"/>
        <v>INSERT INTO Products(Product_desc,Product_category_id) VALUES ('טחינה',1)</v>
      </c>
    </row>
    <row r="25" spans="1:21" x14ac:dyDescent="0.2">
      <c r="A25" s="5"/>
      <c r="B25" s="5"/>
      <c r="C25" s="4" t="s">
        <v>140</v>
      </c>
      <c r="D25" t="str">
        <f t="shared" si="1"/>
        <v>INSERT INTO Products(Product_desc,Product_category_id) VALUES ('שומר',8)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21" x14ac:dyDescent="0.2">
      <c r="A26" s="5"/>
      <c r="B26" s="5"/>
      <c r="C26" s="4" t="s">
        <v>141</v>
      </c>
      <c r="D26" t="str">
        <f t="shared" si="1"/>
        <v>INSERT INTO Products(Product_desc,Product_category_id) VALUES ('שעועית ירוקה',8)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21" x14ac:dyDescent="0.2">
      <c r="A27" s="5"/>
      <c r="B27" s="5"/>
      <c r="C27" s="4" t="s">
        <v>146</v>
      </c>
      <c r="D27" t="str">
        <f t="shared" si="1"/>
        <v>INSERT INTO Products(Product_desc,Product_category_id) VALUES ('תפוח אדמה אדום',8)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21" x14ac:dyDescent="0.2">
      <c r="A28" s="5"/>
      <c r="B28" s="5"/>
      <c r="C28" s="4" t="s">
        <v>118</v>
      </c>
      <c r="D28" t="str">
        <f t="shared" si="1"/>
        <v>INSERT INTO Products(Product_desc,Product_category_id) VALUES ('תירס',8)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21" x14ac:dyDescent="0.2">
      <c r="A29" s="5"/>
      <c r="B29" s="5"/>
      <c r="C29" s="4" t="s">
        <v>142</v>
      </c>
      <c r="D29" t="str">
        <f t="shared" si="1"/>
        <v>INSERT INTO Products(Product_desc,Product_category_id) VALUES ('תפוחי אדמה',8)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21" x14ac:dyDescent="0.2">
      <c r="A30" s="5"/>
      <c r="B30" s="5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3"/>
    </row>
  </sheetData>
  <mergeCells count="1">
    <mergeCell ref="A2:Q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rightToLeft="1"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rightToLeft="1"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Netafim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Niran Badichi</dc:creator>
  <cp:lastModifiedBy>niran</cp:lastModifiedBy>
  <dcterms:created xsi:type="dcterms:W3CDTF">2013-09-03T05:11:39Z</dcterms:created>
  <dcterms:modified xsi:type="dcterms:W3CDTF">2013-09-05T18:30:19Z</dcterms:modified>
</cp:coreProperties>
</file>